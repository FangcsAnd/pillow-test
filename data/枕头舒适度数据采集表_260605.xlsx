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枕头参数库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<sst xmlns="http://schemas.openxmlformats.org/spreadsheetml/2006/main" uniqueCount="47">
  <si>
    <t>枕头参数库 — 一枕一行，首次测量后复用</t>
  </si>
  <si>
    <t>枕头ID</t>
  </si>
  <si>
    <t>品牌/型号</t>
  </si>
  <si>
    <t>材质</t>
  </si>
  <si>
    <t>中心硬度
HF</t>
  </si>
  <si>
    <t>颈椎区硬度
HF</t>
  </si>
  <si>
    <t>边缘硬度L
HF</t>
  </si>
  <si>
    <t>边缘硬度R
HF</t>
  </si>
  <si>
    <t>后脑勺高度
mm</t>
  </si>
  <si>
    <t>颈椎高度
mm</t>
  </si>
  <si>
    <t>侧睡区高度
mm</t>
  </si>
  <si>
    <t>高度差
自动</t>
  </si>
  <si>
    <t>长度×宽度
mm</t>
  </si>
  <si>
    <t>p001</t>
  </si>
  <si>
    <t>亚朵鹅绒枕</t>
  </si>
  <si>
    <t>羽绒</t>
  </si>
  <si>
    <t>700x480</t>
  </si>
  <si>
    <t>p002</t>
  </si>
  <si>
    <t>翼眠TPE枕</t>
  </si>
  <si>
    <t>其他</t>
  </si>
  <si>
    <t>530x340</t>
  </si>
  <si>
    <t>p003</t>
  </si>
  <si>
    <t>慕思枕</t>
  </si>
  <si>
    <t>650x430</t>
  </si>
  <si>
    <t>p004</t>
  </si>
  <si>
    <t>亚朵3.0</t>
  </si>
  <si>
    <t>记忆棉</t>
  </si>
  <si>
    <t>680x400</t>
  </si>
  <si>
    <t>p005</t>
  </si>
  <si>
    <t>水晶家纺硅胶枕</t>
  </si>
  <si>
    <t>700x420</t>
  </si>
  <si>
    <t>p006</t>
  </si>
  <si>
    <t>张御草本枕</t>
  </si>
  <si>
    <t>荞麦</t>
  </si>
  <si>
    <t>740x480</t>
  </si>
  <si>
    <t>p007</t>
  </si>
  <si>
    <t>拉芙菲尔</t>
  </si>
  <si>
    <t>p008</t>
  </si>
  <si>
    <t>未知型号</t>
  </si>
  <si>
    <t>590x370</t>
  </si>
  <si>
    <t>p010</t>
  </si>
  <si>
    <t>620x400</t>
  </si>
  <si>
    <t>百度枕</t>
  </si>
  <si>
    <t>640x420</t>
  </si>
  <si>
    <t>p011</t>
  </si>
  <si>
    <t>p012</t>
  </si>
  <si>
    <t>480x300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</si>
</sst>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sz val="11"/>
      <color indexed="9"/>
      <name val="微软雅黑"/>
    </font>
    <font>
      <sz val="11"/>
      <color indexed="8"/>
      <name val="Calibri"/>
    </font>
    <font>
      <sz val="10"/>
      <color indexed="10"/>
      <name val="微软雅黑"/>
    </font>
    <font>
      <sz val="10"/>
      <color indexed="15"/>
      <name val="微软雅黑"/>
    </font>
    <font>
      <sz val="10"/>
      <color indexed="15"/>
      <name val="Calibri"/>
    </font>
    <font>
      <sz val="10"/>
      <color indexed="15"/>
      <name val="Courier New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1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medium">
        <color indexed="12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1"/>
      </right>
      <top style="medium">
        <color indexed="12"/>
      </top>
      <bottom style="medium">
        <color indexed="12"/>
      </bottom>
      <diagonal/>
    </border>
    <border>
      <left style="thin">
        <color indexed="11"/>
      </left>
      <right style="thin">
        <color indexed="11"/>
      </right>
      <top style="medium">
        <color indexed="12"/>
      </top>
      <bottom style="thin">
        <color indexed="11"/>
      </bottom>
      <diagonal/>
    </border>
    <border>
      <left style="thin">
        <color indexed="11"/>
      </left>
      <right/>
      <top style="medium">
        <color indexed="12"/>
      </top>
      <bottom style="thin">
        <color indexed="11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medium">
        <color indexed="12"/>
      </top>
      <bottom/>
      <diagonal/>
    </border>
    <border>
      <left/>
      <right style="thin">
        <color indexed="11"/>
      </right>
      <top style="medium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4"/>
      </top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4" fillId="2" borderId="2" applyNumberFormat="0" applyFont="1" applyFill="1" applyBorder="1" applyAlignment="1" applyProtection="0">
      <alignment vertical="bottom"/>
    </xf>
    <xf numFmtId="0" fontId="4" fillId="2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/>
    </xf>
    <xf numFmtId="0" fontId="0" fillId="3" borderId="5" applyNumberFormat="0" applyFont="1" applyFill="1" applyBorder="1" applyAlignment="1" applyProtection="0">
      <alignment vertical="center"/>
    </xf>
    <xf numFmtId="49" fontId="5" fillId="4" borderId="6" applyNumberFormat="1" applyFont="1" applyFill="1" applyBorder="1" applyAlignment="1" applyProtection="0">
      <alignment horizontal="center" vertical="center" wrapText="1"/>
    </xf>
    <xf numFmtId="49" fontId="5" fillId="4" borderId="7" applyNumberFormat="1" applyFont="1" applyFill="1" applyBorder="1" applyAlignment="1" applyProtection="0">
      <alignment horizontal="center" vertical="center" wrapText="1"/>
    </xf>
    <xf numFmtId="49" fontId="5" fillId="4" borderId="8" applyNumberFormat="1" applyFont="1" applyFill="1" applyBorder="1" applyAlignment="1" applyProtection="0">
      <alignment horizontal="center" vertical="center" wrapText="1"/>
    </xf>
    <xf numFmtId="49" fontId="5" fillId="4" borderId="9" applyNumberFormat="1" applyFont="1" applyFill="1" applyBorder="1" applyAlignment="1" applyProtection="0">
      <alignment horizontal="center" vertical="center" wrapText="1"/>
    </xf>
    <xf numFmtId="49" fontId="6" fillId="3" borderId="10" applyNumberFormat="1" applyFont="1" applyFill="1" applyBorder="1" applyAlignment="1" applyProtection="0">
      <alignment horizontal="left" vertical="center" wrapText="1"/>
    </xf>
    <xf numFmtId="0" fontId="6" fillId="3" borderId="10" applyNumberFormat="1" applyFont="1" applyFill="1" applyBorder="1" applyAlignment="1" applyProtection="0">
      <alignment horizontal="left" vertical="center" wrapText="1"/>
    </xf>
    <xf numFmtId="0" fontId="6" fillId="3" borderId="11" applyNumberFormat="1" applyFont="1" applyFill="1" applyBorder="1" applyAlignment="1" applyProtection="0">
      <alignment horizontal="left" vertical="center" wrapText="1"/>
    </xf>
    <xf numFmtId="0" fontId="7" fillId="5" borderId="12" applyNumberFormat="1" applyFont="1" applyFill="1" applyBorder="1" applyAlignment="1" applyProtection="0">
      <alignment horizontal="left" vertical="center" wrapText="1"/>
    </xf>
    <xf numFmtId="0" fontId="8" fillId="6" borderId="13" applyNumberFormat="1" applyFont="1" applyFill="1" applyBorder="1" applyAlignment="1" applyProtection="0">
      <alignment horizontal="left" vertical="center"/>
    </xf>
    <xf numFmtId="49" fontId="6" fillId="3" borderId="14" applyNumberFormat="1" applyFont="1" applyFill="1" applyBorder="1" applyAlignment="1" applyProtection="0">
      <alignment horizontal="left" vertical="center" wrapText="1"/>
    </xf>
    <xf numFmtId="49" fontId="7" fillId="3" borderId="15" applyNumberFormat="1" applyFont="1" applyFill="1" applyBorder="1" applyAlignment="1" applyProtection="0">
      <alignment horizontal="left" vertical="center"/>
    </xf>
    <xf numFmtId="0" fontId="7" fillId="3" borderId="15" applyNumberFormat="1" applyFont="1" applyFill="1" applyBorder="1" applyAlignment="1" applyProtection="0">
      <alignment horizontal="left" vertical="center"/>
    </xf>
    <xf numFmtId="0" fontId="7" fillId="3" borderId="16" applyNumberFormat="1" applyFont="1" applyFill="1" applyBorder="1" applyAlignment="1" applyProtection="0">
      <alignment horizontal="left" vertical="center"/>
    </xf>
    <xf numFmtId="0" fontId="8" fillId="6" borderId="17" applyNumberFormat="1" applyFont="1" applyFill="1" applyBorder="1" applyAlignment="1" applyProtection="0">
      <alignment horizontal="left" vertical="center"/>
    </xf>
    <xf numFmtId="49" fontId="7" fillId="3" borderId="18" applyNumberFormat="1" applyFont="1" applyFill="1" applyBorder="1" applyAlignment="1" applyProtection="0">
      <alignment horizontal="left" vertical="center"/>
    </xf>
    <xf numFmtId="0" fontId="7" fillId="3" borderId="19" applyNumberFormat="1" applyFont="1" applyFill="1" applyBorder="1" applyAlignment="1" applyProtection="0">
      <alignment horizontal="left" vertical="center"/>
    </xf>
    <xf numFmtId="49" fontId="0" fillId="3" borderId="15" applyNumberFormat="1" applyFont="1" applyFill="1" applyBorder="1" applyAlignment="1" applyProtection="0">
      <alignment horizontal="left" vertical="center"/>
    </xf>
    <xf numFmtId="0" fontId="0" fillId="3" borderId="15" applyNumberFormat="1" applyFont="1" applyFill="1" applyBorder="1" applyAlignment="1" applyProtection="0">
      <alignment horizontal="left" vertical="center"/>
    </xf>
    <xf numFmtId="0" fontId="0" fillId="3" borderId="19" applyNumberFormat="1" applyFont="1" applyFill="1" applyBorder="1" applyAlignment="1" applyProtection="0">
      <alignment horizontal="left" vertical="center"/>
    </xf>
    <xf numFmtId="49" fontId="0" fillId="3" borderId="18" applyNumberFormat="1" applyFont="1" applyFill="1" applyBorder="1" applyAlignment="1" applyProtection="0">
      <alignment horizontal="left" vertical="center"/>
    </xf>
    <xf numFmtId="0" fontId="8" fillId="6" borderId="20" applyNumberFormat="1" applyFont="1" applyFill="1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3a5c"/>
      <rgbColor rgb="ffaaaaaa"/>
      <rgbColor rgb="ff333333"/>
      <rgbColor rgb="fff0f5fa"/>
      <rgbColor rgb="ffcccccc"/>
      <rgbColor rgb="ff1f2329"/>
      <rgbColor rgb="fffffde7"/>
      <rgbColor rgb="ffe8f5e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5"/>
  <sheetViews>
    <sheetView workbookViewId="0" showGridLines="0" defaultGridColor="1"/>
  </sheetViews>
  <sheetFormatPr defaultColWidth="14" defaultRowHeight="19" customHeight="1" outlineLevelRow="0" outlineLevelCol="0"/>
  <cols>
    <col min="1" max="1" width="8" style="1" customWidth="1"/>
    <col min="2" max="2" width="15" style="1" customWidth="1"/>
    <col min="3" max="3" width="11" style="1" customWidth="1"/>
    <col min="4" max="4" width="12" style="1" customWidth="1"/>
    <col min="5" max="6" width="13" style="1" customWidth="1"/>
    <col min="7" max="7" width="12" style="1" customWidth="1"/>
    <col min="8" max="8" width="13" style="1" customWidth="1"/>
    <col min="9" max="9" width="11" style="1" customWidth="1"/>
    <col min="10" max="10" width="13" style="1" customWidth="1"/>
    <col min="11" max="12" width="10" style="1" customWidth="1"/>
    <col min="13" max="16384" width="14" style="1" customWidth="1"/>
  </cols>
  <sheetData>
    <row r="1" ht="19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9" customHeight="1">
      <c r="A2" s="5"/>
      <c r="B2" s="5"/>
      <c r="C2" s="5"/>
      <c r="D2" s="5"/>
      <c r="E2" s="5"/>
      <c r="F2" s="5"/>
      <c r="G2" s="5"/>
      <c r="H2" s="5"/>
      <c r="I2" s="5"/>
      <c r="J2" s="6"/>
      <c r="K2" s="5"/>
      <c r="L2" s="5"/>
    </row>
    <row r="3" ht="33" customHeight="1">
      <c r="A3" t="s" s="7">
        <v>1</v>
      </c>
      <c r="B3" t="s" s="8">
        <v>2</v>
      </c>
      <c r="C3" t="s" s="8">
        <v>3</v>
      </c>
      <c r="D3" t="s" s="8">
        <v>4</v>
      </c>
      <c r="E3" t="s" s="8">
        <v>5</v>
      </c>
      <c r="F3" t="s" s="8">
        <v>6</v>
      </c>
      <c r="G3" t="s" s="8">
        <v>7</v>
      </c>
      <c r="H3" t="s" s="8">
        <v>8</v>
      </c>
      <c r="I3" t="s" s="8">
        <v>9</v>
      </c>
      <c r="J3" t="s" s="9">
        <v>10</v>
      </c>
      <c r="K3" t="s" s="8">
        <v>11</v>
      </c>
      <c r="L3" t="s" s="10">
        <v>12</v>
      </c>
    </row>
    <row r="4" ht="19" customHeight="1">
      <c r="A4" t="s" s="11">
        <v>13</v>
      </c>
      <c r="B4" t="s" s="11">
        <v>14</v>
      </c>
      <c r="C4" t="s" s="11">
        <v>15</v>
      </c>
      <c r="D4" s="12">
        <v>10</v>
      </c>
      <c r="E4" s="12">
        <v>6</v>
      </c>
      <c r="F4" s="12">
        <v>10</v>
      </c>
      <c r="G4" s="12">
        <v>10</v>
      </c>
      <c r="H4" s="12">
        <v>187</v>
      </c>
      <c r="I4" s="13">
        <v>155</v>
      </c>
      <c r="J4" s="14">
        <v>187</v>
      </c>
      <c r="K4" s="15" cm="1">
        <f t="array" ref="K4">IF(AND(I4&lt;&gt;"",H4&lt;&gt;""),I4-H4,"")</f>
        <v>-32</v>
      </c>
      <c r="L4" t="s" s="16">
        <v>16</v>
      </c>
    </row>
    <row r="5" ht="19" customHeight="1">
      <c r="A5" t="s" s="17">
        <v>17</v>
      </c>
      <c r="B5" t="s" s="17">
        <v>18</v>
      </c>
      <c r="C5" t="s" s="17">
        <v>19</v>
      </c>
      <c r="D5" s="18">
        <v>22</v>
      </c>
      <c r="E5" s="18">
        <v>36</v>
      </c>
      <c r="F5" s="18">
        <v>24</v>
      </c>
      <c r="G5" s="18">
        <v>22</v>
      </c>
      <c r="H5" s="18">
        <v>89</v>
      </c>
      <c r="I5" s="18">
        <v>103</v>
      </c>
      <c r="J5" s="19">
        <v>89</v>
      </c>
      <c r="K5" s="20" cm="1">
        <f t="array" ref="K5">IF(AND(I5&lt;&gt;"",H5&lt;&gt;""),I5-H5,"")</f>
        <v>14</v>
      </c>
      <c r="L5" t="s" s="21">
        <v>20</v>
      </c>
    </row>
    <row r="6" ht="19" customHeight="1">
      <c r="A6" t="s" s="17">
        <v>21</v>
      </c>
      <c r="B6" t="s" s="17">
        <v>22</v>
      </c>
      <c r="C6" t="s" s="17">
        <v>15</v>
      </c>
      <c r="D6" s="18">
        <v>0</v>
      </c>
      <c r="E6" s="18">
        <v>12</v>
      </c>
      <c r="F6" s="18">
        <v>12</v>
      </c>
      <c r="G6" s="18">
        <v>13</v>
      </c>
      <c r="H6" s="18">
        <v>67</v>
      </c>
      <c r="I6" s="18">
        <v>82</v>
      </c>
      <c r="J6" s="22">
        <v>93</v>
      </c>
      <c r="K6" s="20" cm="1">
        <f t="array" ref="K6">IF(AND(I6&lt;&gt;"",H6&lt;&gt;""),I6-H6,"")</f>
        <v>15</v>
      </c>
      <c r="L6" t="s" s="21">
        <v>23</v>
      </c>
    </row>
    <row r="7" ht="19" customHeight="1">
      <c r="A7" t="s" s="17">
        <v>24</v>
      </c>
      <c r="B7" t="s" s="17">
        <v>25</v>
      </c>
      <c r="C7" t="s" s="17">
        <v>26</v>
      </c>
      <c r="D7" s="18">
        <v>16</v>
      </c>
      <c r="E7" s="18">
        <v>14</v>
      </c>
      <c r="F7" s="18">
        <v>17</v>
      </c>
      <c r="G7" s="18">
        <v>18</v>
      </c>
      <c r="H7" s="18">
        <v>114</v>
      </c>
      <c r="I7" s="18">
        <v>114</v>
      </c>
      <c r="J7" s="22">
        <v>114</v>
      </c>
      <c r="K7" s="20" cm="1">
        <f t="array" ref="K7">IF(AND(I7&lt;&gt;"",H7&lt;&gt;""),I7-H7,"")</f>
        <v>0</v>
      </c>
      <c r="L7" t="s" s="21">
        <v>27</v>
      </c>
    </row>
    <row r="8" ht="19" customHeight="1">
      <c r="A8" t="s" s="17">
        <v>28</v>
      </c>
      <c r="B8" t="s" s="17">
        <v>29</v>
      </c>
      <c r="C8" t="s" s="17">
        <v>19</v>
      </c>
      <c r="D8" s="18">
        <v>3</v>
      </c>
      <c r="E8" s="18">
        <v>10</v>
      </c>
      <c r="F8" s="18">
        <v>4</v>
      </c>
      <c r="G8" s="18">
        <v>3</v>
      </c>
      <c r="H8" s="18">
        <v>91</v>
      </c>
      <c r="I8" s="18">
        <v>101</v>
      </c>
      <c r="J8" s="22">
        <v>101</v>
      </c>
      <c r="K8" s="20" cm="1">
        <f t="array" ref="K8">IF(AND(I8&lt;&gt;"",H8&lt;&gt;""),I8-H8,"")</f>
        <v>10</v>
      </c>
      <c r="L8" t="s" s="21">
        <v>30</v>
      </c>
    </row>
    <row r="9" ht="19" customHeight="1">
      <c r="A9" t="s" s="17">
        <v>31</v>
      </c>
      <c r="B9" t="s" s="17">
        <v>32</v>
      </c>
      <c r="C9" t="s" s="17">
        <v>33</v>
      </c>
      <c r="D9" s="18">
        <v>18</v>
      </c>
      <c r="E9" s="18">
        <v>18</v>
      </c>
      <c r="F9" s="18">
        <v>18</v>
      </c>
      <c r="G9" s="18">
        <v>12</v>
      </c>
      <c r="H9" s="18">
        <v>80</v>
      </c>
      <c r="I9" s="18">
        <v>80</v>
      </c>
      <c r="J9" s="22">
        <v>80</v>
      </c>
      <c r="K9" s="20" cm="1">
        <f t="array" ref="K9">IF(AND(I9&lt;&gt;"",H9&lt;&gt;""),I9-H9,"")</f>
        <v>0</v>
      </c>
      <c r="L9" t="s" s="21">
        <v>34</v>
      </c>
    </row>
    <row r="10" ht="19" customHeight="1">
      <c r="A10" t="s" s="17">
        <v>35</v>
      </c>
      <c r="B10" t="s" s="17">
        <v>36</v>
      </c>
      <c r="C10" t="s" s="17">
        <v>26</v>
      </c>
      <c r="D10" s="18">
        <v>17</v>
      </c>
      <c r="E10" s="18">
        <v>26</v>
      </c>
      <c r="F10" s="18">
        <v>15</v>
      </c>
      <c r="G10" s="18">
        <v>21</v>
      </c>
      <c r="H10" s="18">
        <v>98</v>
      </c>
      <c r="I10" s="18">
        <v>114</v>
      </c>
      <c r="J10" s="22">
        <v>106</v>
      </c>
      <c r="K10" s="20" cm="1">
        <f t="array" ref="K10">IF(AND(I10&lt;&gt;"",H10&lt;&gt;""),I10-H10,"")</f>
        <v>16</v>
      </c>
      <c r="L10" t="s" s="21">
        <v>34</v>
      </c>
    </row>
    <row r="11" ht="19" customHeight="1">
      <c r="A11" t="s" s="17">
        <v>37</v>
      </c>
      <c r="B11" t="s" s="17">
        <v>38</v>
      </c>
      <c r="C11" t="s" s="17">
        <v>26</v>
      </c>
      <c r="D11" s="18">
        <v>19</v>
      </c>
      <c r="E11" s="18">
        <v>15</v>
      </c>
      <c r="F11" s="18">
        <v>9</v>
      </c>
      <c r="G11" s="18">
        <v>9</v>
      </c>
      <c r="H11" s="18">
        <v>88</v>
      </c>
      <c r="I11" s="18">
        <v>120</v>
      </c>
      <c r="J11" s="22">
        <v>88</v>
      </c>
      <c r="K11" s="20" cm="1">
        <f t="array" ref="K11">IF(AND(I11&lt;&gt;"",H11&lt;&gt;""),I11-H11,"")</f>
        <v>32</v>
      </c>
      <c r="L11" t="s" s="21">
        <v>39</v>
      </c>
    </row>
    <row r="12" ht="19" customHeight="1">
      <c r="A12" t="s" s="17">
        <v>40</v>
      </c>
      <c r="B12" t="s" s="17">
        <v>38</v>
      </c>
      <c r="C12" t="s" s="17">
        <v>26</v>
      </c>
      <c r="D12" s="18">
        <v>11</v>
      </c>
      <c r="E12" s="18">
        <v>14</v>
      </c>
      <c r="F12" s="18">
        <v>10</v>
      </c>
      <c r="G12" s="18">
        <v>8</v>
      </c>
      <c r="H12" s="18">
        <v>63</v>
      </c>
      <c r="I12" s="18">
        <v>74</v>
      </c>
      <c r="J12" s="22">
        <v>110</v>
      </c>
      <c r="K12" s="20" cm="1">
        <f t="array" ref="K12">IF(AND(I12&lt;&gt;"",H12&lt;&gt;""),I12-H12,"")</f>
        <v>11</v>
      </c>
      <c r="L12" t="s" s="21">
        <v>41</v>
      </c>
    </row>
    <row r="13" ht="19" customHeight="1">
      <c r="A13" t="s" s="17">
        <v>40</v>
      </c>
      <c r="B13" t="s" s="17">
        <v>42</v>
      </c>
      <c r="C13" t="s" s="17">
        <v>26</v>
      </c>
      <c r="D13" s="18">
        <v>3</v>
      </c>
      <c r="E13" s="18">
        <v>17</v>
      </c>
      <c r="F13" s="18">
        <v>18</v>
      </c>
      <c r="G13" s="18">
        <v>16</v>
      </c>
      <c r="H13" s="18">
        <v>75</v>
      </c>
      <c r="I13" s="18">
        <v>86</v>
      </c>
      <c r="J13" s="22">
        <v>100</v>
      </c>
      <c r="K13" s="20" cm="1">
        <f t="array" ref="K13">IF(AND(I13&lt;&gt;"",H13&lt;&gt;""),I13-H13,"")</f>
        <v>11</v>
      </c>
      <c r="L13" t="s" s="21">
        <v>43</v>
      </c>
    </row>
    <row r="14" ht="19" customHeight="1">
      <c r="A14" t="s" s="23">
        <v>44</v>
      </c>
      <c r="B14" t="s" s="23">
        <v>38</v>
      </c>
      <c r="C14" t="s" s="23">
        <v>26</v>
      </c>
      <c r="D14" s="24">
        <v>11</v>
      </c>
      <c r="E14" s="24">
        <v>20</v>
      </c>
      <c r="F14" s="24">
        <v>10</v>
      </c>
      <c r="G14" s="24">
        <v>11</v>
      </c>
      <c r="H14" s="24">
        <v>68</v>
      </c>
      <c r="I14" s="24">
        <v>90</v>
      </c>
      <c r="J14" s="25">
        <v>109</v>
      </c>
      <c r="K14" s="20" cm="1">
        <f t="array" ref="K14">IF(AND(I14&lt;&gt;"",H14&lt;&gt;""),I14-H14,"")</f>
        <v>22</v>
      </c>
      <c r="L14" t="s" s="26">
        <v>43</v>
      </c>
    </row>
    <row r="15" ht="19" customHeight="1">
      <c r="A15" t="s" s="23">
        <v>45</v>
      </c>
      <c r="B15" t="s" s="23">
        <v>38</v>
      </c>
      <c r="C15" t="s" s="23">
        <v>26</v>
      </c>
      <c r="D15" s="24">
        <v>14</v>
      </c>
      <c r="E15" s="24">
        <v>14</v>
      </c>
      <c r="F15" s="24">
        <v>14</v>
      </c>
      <c r="G15" s="24">
        <v>14</v>
      </c>
      <c r="H15" s="24">
        <v>50</v>
      </c>
      <c r="I15" s="24">
        <v>50</v>
      </c>
      <c r="J15" s="25">
        <v>50</v>
      </c>
      <c r="K15" s="27" cm="1">
        <f t="array" ref="K15">IF(AND(I15&lt;&gt;"",H15&lt;&gt;""),I15-H15,"")</f>
        <v>0</v>
      </c>
      <c r="L15" t="s" s="26">
        <v>46</v>
      </c>
    </row>
  </sheetData>
  <mergeCells count="1">
    <mergeCell ref="A1:K1"/>
  </mergeCells>
  <dataValidations count="1">
    <dataValidation type="list" allowBlank="1" showInputMessage="1" showErrorMessage="1" sqref="C4:C15">
      <formula1>"记忆棉,乳胶,荞麦,羽绒,其他"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